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cenario Controls" sheetId="3" state="visible" r:id="rId3"/>
    <sheet xmlns:r="http://schemas.openxmlformats.org/officeDocument/2006/relationships" name="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 / Bias Disclosure</t>
        </is>
      </c>
    </row>
    <row r="2">
      <c r="A2" t="inlineStr">
        <is>
          <t>Annual claims</t>
        </is>
      </c>
      <c r="B2" t="n">
        <v>40</v>
      </c>
      <c r="C2" t="inlineStr">
        <is>
          <t>Below median for 250–300 bed hospitals</t>
        </is>
      </c>
    </row>
    <row r="3">
      <c r="A3" t="inlineStr">
        <is>
          <t>Escalation rate</t>
        </is>
      </c>
      <c r="B3" t="n">
        <v>0.1</v>
      </c>
      <c r="C3" t="inlineStr">
        <is>
          <t>Low vs literature (15–25%)</t>
        </is>
      </c>
    </row>
    <row r="4">
      <c r="A4" t="inlineStr">
        <is>
          <t>Escalation cost delta ($)</t>
        </is>
      </c>
      <c r="B4" t="n">
        <v>200000</v>
      </c>
      <c r="C4" t="inlineStr">
        <is>
          <t>Low vs common $300k–$750k</t>
        </is>
      </c>
    </row>
    <row r="5">
      <c r="A5" t="inlineStr">
        <is>
          <t>Routine defense spend ($)</t>
        </is>
      </c>
      <c r="B5" t="n">
        <v>1200000</v>
      </c>
      <c r="C5" t="inlineStr">
        <is>
          <t>Conservative baseline</t>
        </is>
      </c>
    </row>
    <row r="6">
      <c r="A6" t="inlineStr">
        <is>
          <t>Review hours per case</t>
        </is>
      </c>
      <c r="B6" t="n">
        <v>20</v>
      </c>
      <c r="C6" t="inlineStr">
        <is>
          <t>Low vs reported 30–60</t>
        </is>
      </c>
    </row>
    <row r="7">
      <c r="A7" t="inlineStr">
        <is>
          <t>Hourly blended cost ($)</t>
        </is>
      </c>
      <c r="B7" t="n">
        <v>120</v>
      </c>
      <c r="C7" t="inlineStr">
        <is>
          <t>Below typical $150–$200</t>
        </is>
      </c>
    </row>
    <row r="8">
      <c r="A8" t="inlineStr">
        <is>
          <t>Annual review cases</t>
        </is>
      </c>
      <c r="B8" t="n">
        <v>60</v>
      </c>
      <c r="C8" t="inlineStr">
        <is>
          <t>Conservative</t>
        </is>
      </c>
    </row>
    <row r="9">
      <c r="A9" t="inlineStr">
        <is>
          <t>Clinician replacement cost ($)</t>
        </is>
      </c>
      <c r="B9" t="n">
        <v>300000</v>
      </c>
      <c r="C9" t="inlineStr">
        <is>
          <t>Very conservative</t>
        </is>
      </c>
    </row>
    <row r="10">
      <c r="A10" t="inlineStr">
        <is>
          <t>ELI annual cost ($)</t>
        </is>
      </c>
      <c r="B10" t="n">
        <v>350000</v>
      </c>
      <c r="C10" t="inlineStr">
        <is>
          <t>Upward-biased enterprise estimate</t>
        </is>
      </c>
    </row>
    <row r="11">
      <c r="A11" t="inlineStr">
        <is>
          <t>Regulatory / reputational tail risk</t>
        </is>
      </c>
      <c r="B11" t="inlineStr">
        <is>
          <t>Excluded</t>
        </is>
      </c>
      <c r="C11" t="inlineStr">
        <is>
          <t>Deliberately excluded to bias against ELI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Category</t>
        </is>
      </c>
      <c r="B1" s="1" t="inlineStr">
        <is>
          <t>Formula / Input</t>
        </is>
      </c>
      <c r="C1" s="1" t="inlineStr">
        <is>
          <t>Annual Cost ($)</t>
        </is>
      </c>
    </row>
    <row r="2">
      <c r="A2" t="inlineStr">
        <is>
          <t>Escalated cases</t>
        </is>
      </c>
      <c r="B2">
        <f>Assumptions!B2*Assumptions!B3</f>
        <v/>
      </c>
      <c r="C2">
        <f>B2*Assumptions!B4</f>
        <v/>
      </c>
    </row>
    <row r="3">
      <c r="A3" t="inlineStr">
        <is>
          <t>Review labor</t>
        </is>
      </c>
      <c r="B3">
        <f>Assumptions!B6*Assumptions!B7*Assumptions!B8</f>
        <v/>
      </c>
      <c r="C3">
        <f>B3</f>
        <v/>
      </c>
    </row>
    <row r="4">
      <c r="A4" t="inlineStr">
        <is>
          <t>Attrition (baseline)</t>
        </is>
      </c>
      <c r="B4" t="inlineStr">
        <is>
          <t>1 clinician / year</t>
        </is>
      </c>
      <c r="C4">
        <f>Assumptions!B9</f>
        <v/>
      </c>
    </row>
    <row r="5">
      <c r="A5" t="inlineStr">
        <is>
          <t>Total governance exposure</t>
        </is>
      </c>
      <c r="B5" t="inlineStr"/>
      <c r="C5">
        <f>SUM(C2:C4)</f>
        <v/>
      </c>
    </row>
    <row r="6">
      <c r="A6" t="inlineStr"/>
      <c r="B6" t="inlineStr"/>
      <c r="C6" t="inlineStr"/>
    </row>
    <row r="7">
      <c r="A7" t="inlineStr">
        <is>
          <t>ELI cost</t>
        </is>
      </c>
      <c r="B7" t="inlineStr">
        <is>
          <t>Fixed</t>
        </is>
      </c>
      <c r="C7">
        <f>Assumptions!B10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Toggle</t>
        </is>
      </c>
      <c r="B1" s="1" t="inlineStr">
        <is>
          <t>Input</t>
        </is>
      </c>
      <c r="C1" s="1" t="inlineStr">
        <is>
          <t>Description</t>
        </is>
      </c>
    </row>
    <row r="2">
      <c r="A2" t="inlineStr">
        <is>
          <t>Escalations prevented</t>
        </is>
      </c>
      <c r="B2" t="n">
        <v>1</v>
      </c>
      <c r="C2" t="inlineStr">
        <is>
          <t>0–2 expected in conservative pilot</t>
        </is>
      </c>
    </row>
    <row r="3">
      <c r="A3" t="inlineStr">
        <is>
          <t>Review labor reduction (%)</t>
        </is>
      </c>
      <c r="B3" t="n">
        <v>0.3</v>
      </c>
      <c r="C3" t="inlineStr">
        <is>
          <t>Fractional compression only</t>
        </is>
      </c>
    </row>
    <row r="4">
      <c r="A4" t="inlineStr">
        <is>
          <t>Attrition interval (years)</t>
        </is>
      </c>
      <c r="B4" t="n">
        <v>3</v>
      </c>
      <c r="C4" t="inlineStr">
        <is>
          <t>1 clinician prevented every N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1" t="inlineStr">
        <is>
          <t>Benefit Category</t>
        </is>
      </c>
      <c r="B1" s="1" t="inlineStr">
        <is>
          <t>Formula</t>
        </is>
      </c>
      <c r="C1" s="1" t="inlineStr">
        <is>
          <t>Annual Benefit ($)</t>
        </is>
      </c>
    </row>
    <row r="2">
      <c r="A2" t="inlineStr">
        <is>
          <t>Escalation reduction</t>
        </is>
      </c>
      <c r="B2">
        <f>Scenario Controls!B2*Assumptions!B4</f>
        <v/>
      </c>
      <c r="C2">
        <f>B2</f>
        <v/>
      </c>
    </row>
    <row r="3">
      <c r="A3" t="inlineStr">
        <is>
          <t>Review labor savings</t>
        </is>
      </c>
      <c r="B3">
        <f>Assumptions!B6*Assumptions!B7*Assumptions!B8*Scenario Controls!B3</f>
        <v/>
      </c>
      <c r="C3">
        <f>B3</f>
        <v/>
      </c>
    </row>
    <row r="4">
      <c r="A4" t="inlineStr">
        <is>
          <t>Attrition avoided (annualized)</t>
        </is>
      </c>
      <c r="B4">
        <f>Assumptions!B9/Scenario Controls!B4</f>
        <v/>
      </c>
      <c r="C4">
        <f>B4</f>
        <v/>
      </c>
    </row>
    <row r="5">
      <c r="A5" t="inlineStr">
        <is>
          <t>Total ELI benefit</t>
        </is>
      </c>
      <c r="B5" t="inlineStr"/>
      <c r="C5">
        <f>SUM(C2:C4)</f>
        <v/>
      </c>
    </row>
    <row r="6">
      <c r="A6" t="inlineStr">
        <is>
          <t>Net position (Benefit - Cost)</t>
        </is>
      </c>
      <c r="B6" t="inlineStr"/>
      <c r="C6">
        <f>C5-Assumptions!B10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2026-01-11T05:21:20Z</dcterms:created>
  <dcterms:modified xmlns:dcterms="http://purl.org/dc/terms/" xmlns:xsi="http://www.w3.org/2001/XMLSchema-instance" xsi:type="dcterms:W3CDTF">2026-01-11T05:21:20Z</dcterms:modified>
</cp:coreProperties>
</file>